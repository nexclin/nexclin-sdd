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Apontament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41C28"/>
      <sz val="12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9C0006"/>
      <sz val="10"/>
    </font>
    <font>
      <name val="Arial"/>
      <b val="1"/>
      <color rgb="00FFFFFF"/>
      <sz val="10"/>
    </font>
    <font>
      <name val="Arial"/>
      <i val="1"/>
      <color rgb="008A8A8A"/>
      <sz val="10"/>
    </font>
    <font>
      <name val="Arial"/>
      <b val="1"/>
      <color rgb="00141C28"/>
      <sz val="13"/>
    </font>
    <font>
      <name val="Arial"/>
      <b val="1"/>
      <color rgb="00141C28"/>
      <sz val="28"/>
    </font>
    <font>
      <name val="Arial"/>
      <color rgb="003A4A5C"/>
      <sz val="9"/>
    </font>
  </fonts>
  <fills count="6">
    <fill>
      <patternFill/>
    </fill>
    <fill>
      <patternFill patternType="gray125"/>
    </fill>
    <fill>
      <patternFill patternType="solid">
        <fgColor rgb="00141C28"/>
      </patternFill>
    </fill>
    <fill>
      <patternFill patternType="solid">
        <fgColor rgb="00F4F1EC"/>
      </patternFill>
    </fill>
    <fill>
      <patternFill patternType="solid">
        <fgColor rgb="00FFF3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3" fillId="0" borderId="0" applyAlignment="1" pivotButton="0" quotePrefix="0" xfId="0">
      <alignment vertical="center" wrapText="1"/>
    </xf>
    <xf numFmtId="0" fontId="4" fillId="4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5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1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2" ht="34" customHeight="1">
      <c r="B2" s="1" t="inlineStr">
        <is>
          <t>NexClin · Planilha de apontamentos das baterias de teste</t>
        </is>
      </c>
    </row>
    <row r="4" ht="30" customHeight="1">
      <c r="B4" s="2" t="inlineStr">
        <is>
          <t>Para que serve</t>
        </is>
      </c>
      <c r="C4" s="3" t="inlineStr">
        <is>
          <t>Registrar tudo que você encontrar usando o sistema. É esta planilha que decide o que é corrigido antes do lançamento de 01/09.</t>
        </is>
      </c>
    </row>
    <row r="6">
      <c r="B6" s="2" t="inlineStr">
        <is>
          <t>A regra, que é uma só</t>
        </is>
      </c>
    </row>
    <row r="7" ht="28" customHeight="1">
      <c r="B7" s="4" t="inlineStr">
        <is>
          <t>BUG</t>
        </is>
      </c>
      <c r="C7" s="5" t="inlineStr">
        <is>
          <t>O sistema faz algo errado, ou não faz o que deveria fazer. → Correção imediata, antes do lançamento.</t>
        </is>
      </c>
    </row>
    <row r="8" ht="28" customHeight="1">
      <c r="B8" s="4" t="inlineStr">
        <is>
          <t>BACKLOG</t>
        </is>
      </c>
      <c r="C8" s="5" t="inlineStr">
        <is>
          <t>O sistema faz certo, mas você gostaria que fizesse diferente ou a mais. → Fica registrado e entra depois do lançamento.</t>
        </is>
      </c>
    </row>
    <row r="9">
      <c r="B9" s="6" t="inlineStr">
        <is>
          <t>NA DÚVIDA</t>
        </is>
      </c>
      <c r="C9" s="7" t="inlineStr">
        <is>
          <t>Marque BUG. É melhor eu descartar um item do que perder um problema real.</t>
        </is>
      </c>
    </row>
    <row r="11">
      <c r="B11" s="2" t="inlineStr">
        <is>
          <t>Três coisas que já sabemos</t>
        </is>
      </c>
      <c r="C11" s="8" t="inlineStr">
        <is>
          <t>Se acontecerem, NÃO precisa registrar:</t>
        </is>
      </c>
    </row>
    <row r="12" ht="26" customHeight="1">
      <c r="C12" s="5" t="inlineStr">
        <is>
          <t>1. Lista aparecendo vazia (pacientes, consultas). O filtro vem em "Este mês" e o cadastro some. Troque o período e tudo aparece.</t>
        </is>
      </c>
    </row>
    <row r="13" ht="26" customHeight="1">
      <c r="C13" s="5" t="inlineStr">
        <is>
          <t>2. Tela branca no primeiro acesso. Recarregue com F5 e funciona.</t>
        </is>
      </c>
    </row>
    <row r="14" ht="26" customHeight="1">
      <c r="C14" s="5" t="inlineStr">
        <is>
          <t>3. Filtro de período diferente de uma tela para outra.</t>
        </is>
      </c>
    </row>
    <row r="16" ht="30" customHeight="1">
      <c r="B16" s="2" t="inlineStr">
        <is>
          <t>Antes de começar</t>
        </is>
      </c>
      <c r="C16" s="3" t="inlineStr">
        <is>
          <t>Crie uma clínica nova pelo cadastro e teste nela. O ambiente tem clínicas de teste antigas com dado bagunçado — testar naquilo faz você perder tempo com lixo que não é seu.</t>
        </is>
      </c>
    </row>
    <row r="18">
      <c r="B18" s="2" t="inlineStr">
        <is>
          <t>Como preencher</t>
        </is>
      </c>
    </row>
    <row r="19">
      <c r="B19" s="7" t="inlineStr">
        <is>
          <t>Data</t>
        </is>
      </c>
      <c r="C19" s="5" t="inlineStr">
        <is>
          <t>Quando aconteceu.</t>
        </is>
      </c>
    </row>
    <row r="20">
      <c r="B20" s="7" t="inlineStr">
        <is>
          <t>Quem</t>
        </is>
      </c>
      <c r="C20" s="5" t="inlineStr">
        <is>
          <t>Seu nome (lista suspensa).</t>
        </is>
      </c>
    </row>
    <row r="21">
      <c r="B21" s="7" t="inlineStr">
        <is>
          <t>Tela / Área</t>
        </is>
      </c>
      <c r="C21" s="5" t="inlineStr">
        <is>
          <t>Onde aconteceu (lista suspensa).</t>
        </is>
      </c>
    </row>
    <row r="22">
      <c r="B22" s="7" t="inlineStr">
        <is>
          <t>O que eu fiz</t>
        </is>
      </c>
      <c r="C22" s="5" t="inlineStr">
        <is>
          <t>Os passos, na ordem. Quanto mais exato, mais rápido eu reproduzo.</t>
        </is>
      </c>
    </row>
    <row r="23">
      <c r="B23" s="7" t="inlineStr">
        <is>
          <t>O que aconteceu</t>
        </is>
      </c>
      <c r="C23" s="5" t="inlineStr">
        <is>
          <t>O que você viu na tela.</t>
        </is>
      </c>
    </row>
    <row r="24">
      <c r="B24" s="7" t="inlineStr">
        <is>
          <t>O que eu esperava</t>
        </is>
      </c>
      <c r="C24" s="5" t="inlineStr">
        <is>
          <t>O que deveria ter acontecido. Esta coluna é a mais valiosa das três.</t>
        </is>
      </c>
    </row>
    <row r="25">
      <c r="B25" s="7" t="inlineStr">
        <is>
          <t>Tipo</t>
        </is>
      </c>
      <c r="C25" s="5" t="inlineStr">
        <is>
          <t>Bug ou Backlog (lista suspensa).</t>
        </is>
      </c>
    </row>
    <row r="26">
      <c r="B26" s="7" t="inlineStr">
        <is>
          <t>Atrapalha muito?</t>
        </is>
      </c>
      <c r="C26" s="5" t="inlineStr">
        <is>
          <t>Sim se impede ou dificulta muito o uso. É esta coluna que alimenta a trava de lançamento.</t>
        </is>
      </c>
    </row>
    <row r="27">
      <c r="B27" s="7" t="inlineStr">
        <is>
          <t>Status</t>
        </is>
      </c>
      <c r="C27" s="5" t="inlineStr">
        <is>
          <t>Deixe em branco — quem preenche sou eu.</t>
        </is>
      </c>
    </row>
    <row r="28">
      <c r="B28" s="7" t="inlineStr">
        <is>
          <t>Resposta do Arthur</t>
        </is>
      </c>
      <c r="C28" s="5" t="inlineStr">
        <is>
          <t>Deixe em branco — quem preenche sou eu.</t>
        </is>
      </c>
    </row>
    <row r="30" ht="30" customHeight="1">
      <c r="B30" s="2" t="inlineStr">
        <is>
          <t>Trava de lançamento</t>
        </is>
      </c>
      <c r="C30" s="3" t="inlineStr">
        <is>
          <t>Na aba Resumo há um contador de bugs abertos que atrapalham muito. Ele precisa chegar a ZERO antes de abrirmos para cliente.</t>
        </is>
      </c>
    </row>
    <row r="32">
      <c r="B32" s="2" t="inlineStr">
        <is>
          <t>Quem testa quando</t>
        </is>
      </c>
    </row>
    <row r="33">
      <c r="B33" s="7" t="inlineStr">
        <is>
          <t>Vinícius · 17 a 21/08</t>
        </is>
      </c>
      <c r="C33" s="8" t="inlineStr">
        <is>
          <t>Gestão clínica: o sistema dá conta da rotina real de uma clínica?</t>
        </is>
      </c>
    </row>
    <row r="34">
      <c r="B34" s="7" t="inlineStr">
        <is>
          <t>Erick · 24 a 26/08</t>
        </is>
      </c>
      <c r="C34" s="8" t="inlineStr">
        <is>
          <t>Fluidez e experiência, já sobre a versão corrigida.</t>
        </is>
      </c>
    </row>
    <row r="37" ht="30" customHeight="1">
      <c r="C37" s="9" t="inlineStr">
        <is>
          <t>Se algo parecer grave de verdade — por exemplo, você ver dado de uma clínica que não é a sua — ligue para o Arthur em vez de escrever aqui.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8" customWidth="1" min="4" max="4"/>
    <col width="42" customWidth="1" min="5" max="5"/>
    <col width="42" customWidth="1" min="6" max="6"/>
    <col width="42" customWidth="1" min="7" max="7"/>
    <col width="12" customWidth="1" min="8" max="8"/>
    <col width="16" customWidth="1" min="9" max="9"/>
    <col width="14" customWidth="1" min="10" max="10"/>
    <col width="34" customWidth="1" min="11" max="11"/>
  </cols>
  <sheetData>
    <row r="1" ht="30" customHeight="1">
      <c r="A1" s="10" t="inlineStr">
        <is>
          <t>ID</t>
        </is>
      </c>
      <c r="B1" s="10" t="inlineStr">
        <is>
          <t>Data</t>
        </is>
      </c>
      <c r="C1" s="10" t="inlineStr">
        <is>
          <t>Quem</t>
        </is>
      </c>
      <c r="D1" s="10" t="inlineStr">
        <is>
          <t>Tela / Área</t>
        </is>
      </c>
      <c r="E1" s="10" t="inlineStr">
        <is>
          <t>O que eu fiz</t>
        </is>
      </c>
      <c r="F1" s="10" t="inlineStr">
        <is>
          <t>O que aconteceu</t>
        </is>
      </c>
      <c r="G1" s="10" t="inlineStr">
        <is>
          <t>O que eu esperava</t>
        </is>
      </c>
      <c r="H1" s="10" t="inlineStr">
        <is>
          <t>Tipo</t>
        </is>
      </c>
      <c r="I1" s="10" t="inlineStr">
        <is>
          <t>Atrapalha muito?</t>
        </is>
      </c>
      <c r="J1" s="10" t="inlineStr">
        <is>
          <t>Status</t>
        </is>
      </c>
      <c r="K1" s="10" t="inlineStr">
        <is>
          <t>Resposta do Arthur</t>
        </is>
      </c>
    </row>
    <row r="2" ht="42" customHeight="1">
      <c r="A2" s="11" t="inlineStr">
        <is>
          <t>EXEMPLO</t>
        </is>
      </c>
      <c r="B2" s="11" t="inlineStr">
        <is>
          <t>17/08/2026</t>
        </is>
      </c>
      <c r="C2" s="11" t="inlineStr">
        <is>
          <t>Vinícius</t>
        </is>
      </c>
      <c r="D2" s="11" t="inlineStr">
        <is>
          <t>Contas a Receber</t>
        </is>
      </c>
      <c r="E2" s="11" t="inlineStr">
        <is>
          <t>Marquei uma consulta como atendida e fui em Contas a Receber</t>
        </is>
      </c>
      <c r="F2" s="11" t="inlineStr">
        <is>
          <t>A consulta não gerou nada a receber; a lista continuou vazia</t>
        </is>
      </c>
      <c r="G2" s="11" t="inlineStr">
        <is>
          <t>A consulta atendida deveria virar uma conta a receber automaticamente</t>
        </is>
      </c>
      <c r="H2" s="11" t="inlineStr">
        <is>
          <t>Bug</t>
        </is>
      </c>
      <c r="I2" s="11" t="inlineStr">
        <is>
          <t>Sim</t>
        </is>
      </c>
      <c r="J2" s="11" t="inlineStr"/>
      <c r="K2" s="11" t="inlineStr"/>
    </row>
    <row r="3">
      <c r="A3" s="12">
        <f>IF(COUNTA(B3:G3)=0,"",ROW()-2)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</row>
    <row r="4">
      <c r="A4" s="12">
        <f>IF(COUNTA(B4:G4)=0,"",ROW()-2)</f>
        <v/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5">
      <c r="A5" s="12">
        <f>IF(COUNTA(B5:G5)=0,"",ROW()-2)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2">
        <f>IF(COUNTA(B6:G6)=0,"",ROW()-2)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A7" s="12">
        <f>IF(COUNTA(B7:G7)=0,"",ROW()-2)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>
        <f>IF(COUNTA(B8:G8)=0,"",ROW()-2)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>
        <f>IF(COUNTA(B9:G9)=0,"",ROW()-2)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>
        <f>IF(COUNTA(B10:G10)=0,"",ROW()-2)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>
        <f>IF(COUNTA(B11:G11)=0,"",ROW()-2)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>
        <f>IF(COUNTA(B12:G12)=0,"",ROW()-2)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>
        <f>IF(COUNTA(B13:G13)=0,"",ROW()-2)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>
        <f>IF(COUNTA(B14:G14)=0,"",ROW()-2)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>
        <f>IF(COUNTA(B15:G15)=0,"",ROW()-2)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>
        <f>IF(COUNTA(B16:G16)=0,"",ROW()-2)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>
        <f>IF(COUNTA(B17:G17)=0,"",ROW()-2)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>
        <f>IF(COUNTA(B18:G18)=0,"",ROW()-2)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>
        <f>IF(COUNTA(B19:G19)=0,"",ROW()-2)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>
        <f>IF(COUNTA(B20:G20)=0,"",ROW()-2)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>
        <f>IF(COUNTA(B21:G21)=0,"",ROW()-2)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>
        <f>IF(COUNTA(B22:G22)=0,"",ROW()-2)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>
        <f>IF(COUNTA(B23:G23)=0,"",ROW()-2)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>
        <f>IF(COUNTA(B24:G24)=0,"",ROW()-2)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>
        <f>IF(COUNTA(B25:G25)=0,"",ROW()-2)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>
        <f>IF(COUNTA(B26:G26)=0,"",ROW()-2)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>
        <f>IF(COUNTA(B27:G27)=0,"",ROW()-2)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>
        <f>IF(COUNTA(B28:G28)=0,"",ROW()-2)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>
        <f>IF(COUNTA(B29:G29)=0,"",ROW()-2)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>
        <f>IF(COUNTA(B30:G30)=0,"",ROW()-2)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>
        <f>IF(COUNTA(B31:G31)=0,"",ROW()-2)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>
        <f>IF(COUNTA(B32:G32)=0,"",ROW()-2)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>
        <f>IF(COUNTA(B33:G33)=0,"",ROW()-2)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>
        <f>IF(COUNTA(B34:G34)=0,"",ROW()-2)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>
        <f>IF(COUNTA(B35:G35)=0,"",ROW()-2)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>
        <f>IF(COUNTA(B36:G36)=0,"",ROW()-2)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>
        <f>IF(COUNTA(B37:G37)=0,"",ROW()-2)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>
        <f>IF(COUNTA(B38:G38)=0,"",ROW()-2)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>
        <f>IF(COUNTA(B39:G39)=0,"",ROW()-2)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>
        <f>IF(COUNTA(B40:G40)=0,"",ROW()-2)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>
        <f>IF(COUNTA(B41:G41)=0,"",ROW()-2)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>
        <f>IF(COUNTA(B42:G42)=0,"",ROW()-2)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>
        <f>IF(COUNTA(B43:G43)=0,"",ROW()-2)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>
        <f>IF(COUNTA(B44:G44)=0,"",ROW()-2)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>
        <f>IF(COUNTA(B45:G45)=0,"",ROW()-2)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>
      <c r="A46" s="12">
        <f>IF(COUNTA(B46:G46)=0,"",ROW()-2)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2">
        <f>IF(COUNTA(B47:G47)=0,"",ROW()-2)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>
      <c r="A48" s="12">
        <f>IF(COUNTA(B48:G48)=0,"",ROW()-2)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>
      <c r="A49" s="12">
        <f>IF(COUNTA(B49:G49)=0,"",ROW()-2)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>
      <c r="A50" s="12">
        <f>IF(COUNTA(B50:G50)=0,"",ROW()-2)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2">
        <f>IF(COUNTA(B51:G51)=0,"",ROW()-2)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>
      <c r="A52" s="12">
        <f>IF(COUNTA(B52:G52)=0,"",ROW()-2)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12">
        <f>IF(COUNTA(B53:G53)=0,"",ROW()-2)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s="12">
        <f>IF(COUNTA(B54:G54)=0,"",ROW()-2)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>
      <c r="A55" s="12">
        <f>IF(COUNTA(B55:G55)=0,"",ROW()-2)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>
      <c r="A56" s="12">
        <f>IF(COUNTA(B56:G56)=0,"",ROW()-2)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>
      <c r="A57" s="12">
        <f>IF(COUNTA(B57:G57)=0,"",ROW()-2)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s="12">
        <f>IF(COUNTA(B58:G58)=0,"",ROW()-2)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>
      <c r="A59" s="12">
        <f>IF(COUNTA(B59:G59)=0,"",ROW()-2)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>
      <c r="A60" s="12">
        <f>IF(COUNTA(B60:G60)=0,"",ROW()-2)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>
      <c r="A61" s="12">
        <f>IF(COUNTA(B61:G61)=0,"",ROW()-2)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>
      <c r="A62" s="12">
        <f>IF(COUNTA(B62:G62)=0,"",ROW()-2)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>
      <c r="A63" s="12">
        <f>IF(COUNTA(B63:G63)=0,"",ROW()-2)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>
      <c r="A64" s="12">
        <f>IF(COUNTA(B64:G64)=0,"",ROW()-2)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>
      <c r="A65" s="12">
        <f>IF(COUNTA(B65:G65)=0,"",ROW()-2)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>
      <c r="A66" s="12">
        <f>IF(COUNTA(B66:G66)=0,"",ROW()-2)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>
      <c r="A67" s="12">
        <f>IF(COUNTA(B67:G67)=0,"",ROW()-2)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>
      <c r="A68" s="12">
        <f>IF(COUNTA(B68:G68)=0,"",ROW()-2)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>
      <c r="A69" s="12">
        <f>IF(COUNTA(B69:G69)=0,"",ROW()-2)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>
      <c r="A70" s="12">
        <f>IF(COUNTA(B70:G70)=0,"",ROW()-2)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>
      <c r="A71" s="12">
        <f>IF(COUNTA(B71:G71)=0,"",ROW()-2)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>
      <c r="A72" s="12">
        <f>IF(COUNTA(B72:G72)=0,"",ROW()-2)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>
      <c r="A73" s="12">
        <f>IF(COUNTA(B73:G73)=0,"",ROW()-2)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>
      <c r="A74" s="12">
        <f>IF(COUNTA(B74:G74)=0,"",ROW()-2)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>
      <c r="A75" s="12">
        <f>IF(COUNTA(B75:G75)=0,"",ROW()-2)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>
      <c r="A76" s="12">
        <f>IF(COUNTA(B76:G76)=0,"",ROW()-2)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A77" s="12">
        <f>IF(COUNTA(B77:G77)=0,"",ROW()-2)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A78" s="12">
        <f>IF(COUNTA(B78:G78)=0,"",ROW()-2)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>
        <f>IF(COUNTA(B79:G79)=0,"",ROW()-2)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>
        <f>IF(COUNTA(B80:G80)=0,"",ROW()-2)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>
        <f>IF(COUNTA(B81:G81)=0,"",ROW()-2)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>
        <f>IF(COUNTA(B82:G82)=0,"",ROW()-2)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>
        <f>IF(COUNTA(B83:G83)=0,"",ROW()-2)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>
        <f>IF(COUNTA(B84:G84)=0,"",ROW()-2)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>
        <f>IF(COUNTA(B85:G85)=0,"",ROW()-2)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>
        <f>IF(COUNTA(B86:G86)=0,"",ROW()-2)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>
        <f>IF(COUNTA(B87:G87)=0,"",ROW()-2)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>
        <f>IF(COUNTA(B88:G88)=0,"",ROW()-2)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>
        <f>IF(COUNTA(B89:G89)=0,"",ROW()-2)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>
        <f>IF(COUNTA(B90:G90)=0,"",ROW()-2)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>
        <f>IF(COUNTA(B91:G91)=0,"",ROW()-2)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>
        <f>IF(COUNTA(B92:G92)=0,"",ROW()-2)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>
        <f>IF(COUNTA(B93:G93)=0,"",ROW()-2)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>
        <f>IF(COUNTA(B94:G94)=0,"",ROW()-2)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>
        <f>IF(COUNTA(B95:G95)=0,"",ROW()-2)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>
        <f>IF(COUNTA(B96:G96)=0,"",ROW()-2)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>
        <f>IF(COUNTA(B97:G97)=0,"",ROW()-2)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>
        <f>IF(COUNTA(B98:G98)=0,"",ROW()-2)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>
        <f>IF(COUNTA(B99:G99)=0,"",ROW()-2)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>
        <f>IF(COUNTA(B100:G100)=0,"",ROW()-2)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>
        <f>IF(COUNTA(B101:G101)=0,"",ROW()-2)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>
        <f>IF(COUNTA(B102:G102)=0,"",ROW()-2)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>
        <f>IF(COUNTA(B103:G103)=0,"",ROW()-2)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>
        <f>IF(COUNTA(B104:G104)=0,"",ROW()-2)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>
        <f>IF(COUNTA(B105:G105)=0,"",ROW()-2)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>
        <f>IF(COUNTA(B106:G106)=0,"",ROW()-2)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>
        <f>IF(COUNTA(B107:G107)=0,"",ROW()-2)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>
        <f>IF(COUNTA(B108:G108)=0,"",ROW()-2)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>
        <f>IF(COUNTA(B109:G109)=0,"",ROW()-2)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>
        <f>IF(COUNTA(B110:G110)=0,"",ROW()-2)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>
        <f>IF(COUNTA(B111:G111)=0,"",ROW()-2)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>
        <f>IF(COUNTA(B112:G112)=0,"",ROW()-2)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>
        <f>IF(COUNTA(B113:G113)=0,"",ROW()-2)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>
        <f>IF(COUNTA(B114:G114)=0,"",ROW()-2)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>
        <f>IF(COUNTA(B115:G115)=0,"",ROW()-2)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>
        <f>IF(COUNTA(B116:G116)=0,"",ROW()-2)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>
        <f>IF(COUNTA(B117:G117)=0,"",ROW()-2)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>
        <f>IF(COUNTA(B118:G118)=0,"",ROW()-2)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>
        <f>IF(COUNTA(B119:G119)=0,"",ROW()-2)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>
        <f>IF(COUNTA(B120:G120)=0,"",ROW()-2)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>
        <f>IF(COUNTA(B121:G121)=0,"",ROW()-2)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>
        <f>IF(COUNTA(B122:G122)=0,"",ROW()-2)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>
        <f>IF(COUNTA(B123:G123)=0,"",ROW()-2)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>
        <f>IF(COUNTA(B124:G124)=0,"",ROW()-2)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>
        <f>IF(COUNTA(B125:G125)=0,"",ROW()-2)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>
        <f>IF(COUNTA(B126:G126)=0,"",ROW()-2)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>
        <f>IF(COUNTA(B127:G127)=0,"",ROW()-2)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>
        <f>IF(COUNTA(B128:G128)=0,"",ROW()-2)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>
        <f>IF(COUNTA(B129:G129)=0,"",ROW()-2)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>
        <f>IF(COUNTA(B130:G130)=0,"",ROW()-2)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>
        <f>IF(COUNTA(B131:G131)=0,"",ROW()-2)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>
        <f>IF(COUNTA(B132:G132)=0,"",ROW()-2)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>
        <f>IF(COUNTA(B133:G133)=0,"",ROW()-2)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>
        <f>IF(COUNTA(B134:G134)=0,"",ROW()-2)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>
        <f>IF(COUNTA(B135:G135)=0,"",ROW()-2)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>
        <f>IF(COUNTA(B136:G136)=0,"",ROW()-2)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>
        <f>IF(COUNTA(B137:G137)=0,"",ROW()-2)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>
        <f>IF(COUNTA(B138:G138)=0,"",ROW()-2)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>
        <f>IF(COUNTA(B139:G139)=0,"",ROW()-2)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>
        <f>IF(COUNTA(B140:G140)=0,"",ROW()-2)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>
        <f>IF(COUNTA(B141:G141)=0,"",ROW()-2)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>
        <f>IF(COUNTA(B142:G142)=0,"",ROW()-2)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>
        <f>IF(COUNTA(B143:G143)=0,"",ROW()-2)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>
        <f>IF(COUNTA(B144:G144)=0,"",ROW()-2)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>
        <f>IF(COUNTA(B145:G145)=0,"",ROW()-2)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>
        <f>IF(COUNTA(B146:G146)=0,"",ROW()-2)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>
        <f>IF(COUNTA(B147:G147)=0,"",ROW()-2)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>
        <f>IF(COUNTA(B148:G148)=0,"",ROW()-2)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>
        <f>IF(COUNTA(B149:G149)=0,"",ROW()-2)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>
        <f>IF(COUNTA(B150:G150)=0,"",ROW()-2)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>
        <f>IF(COUNTA(B151:G151)=0,"",ROW()-2)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>
        <f>IF(COUNTA(B152:G152)=0,"",ROW()-2)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>
        <f>IF(COUNTA(B153:G153)=0,"",ROW()-2)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>
        <f>IF(COUNTA(B154:G154)=0,"",ROW()-2)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>
        <f>IF(COUNTA(B155:G155)=0,"",ROW()-2)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>
        <f>IF(COUNTA(B156:G156)=0,"",ROW()-2)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>
        <f>IF(COUNTA(B157:G157)=0,"",ROW()-2)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>
        <f>IF(COUNTA(B158:G158)=0,"",ROW()-2)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>
        <f>IF(COUNTA(B159:G159)=0,"",ROW()-2)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>
        <f>IF(COUNTA(B160:G160)=0,"",ROW()-2)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>
        <f>IF(COUNTA(B161:G161)=0,"",ROW()-2)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>
        <f>IF(COUNTA(B162:G162)=0,"",ROW()-2)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>
        <f>IF(COUNTA(B163:G163)=0,"",ROW()-2)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>
        <f>IF(COUNTA(B164:G164)=0,"",ROW()-2)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>
        <f>IF(COUNTA(B165:G165)=0,"",ROW()-2)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>
        <f>IF(COUNTA(B166:G166)=0,"",ROW()-2)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>
        <f>IF(COUNTA(B167:G167)=0,"",ROW()-2)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>
        <f>IF(COUNTA(B168:G168)=0,"",ROW()-2)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>
        <f>IF(COUNTA(B169:G169)=0,"",ROW()-2)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>
        <f>IF(COUNTA(B170:G170)=0,"",ROW()-2)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>
        <f>IF(COUNTA(B171:G171)=0,"",ROW()-2)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>
        <f>IF(COUNTA(B172:G172)=0,"",ROW()-2)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>
        <f>IF(COUNTA(B173:G173)=0,"",ROW()-2)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>
        <f>IF(COUNTA(B174:G174)=0,"",ROW()-2)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>
        <f>IF(COUNTA(B175:G175)=0,"",ROW()-2)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>
        <f>IF(COUNTA(B176:G176)=0,"",ROW()-2)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>
        <f>IF(COUNTA(B177:G177)=0,"",ROW()-2)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>
        <f>IF(COUNTA(B178:G178)=0,"",ROW()-2)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>
        <f>IF(COUNTA(B179:G179)=0,"",ROW()-2)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>
        <f>IF(COUNTA(B180:G180)=0,"",ROW()-2)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>
        <f>IF(COUNTA(B181:G181)=0,"",ROW()-2)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>
        <f>IF(COUNTA(B182:G182)=0,"",ROW()-2)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>
        <f>IF(COUNTA(B183:G183)=0,"",ROW()-2)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>
        <f>IF(COUNTA(B184:G184)=0,"",ROW()-2)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>
        <f>IF(COUNTA(B185:G185)=0,"",ROW()-2)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>
        <f>IF(COUNTA(B186:G186)=0,"",ROW()-2)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>
        <f>IF(COUNTA(B187:G187)=0,"",ROW()-2)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>
        <f>IF(COUNTA(B188:G188)=0,"",ROW()-2)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>
        <f>IF(COUNTA(B189:G189)=0,"",ROW()-2)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>
        <f>IF(COUNTA(B190:G190)=0,"",ROW()-2)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>
        <f>IF(COUNTA(B191:G191)=0,"",ROW()-2)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>
        <f>IF(COUNTA(B192:G192)=0,"",ROW()-2)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>
        <f>IF(COUNTA(B193:G193)=0,"",ROW()-2)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>
        <f>IF(COUNTA(B194:G194)=0,"",ROW()-2)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>
        <f>IF(COUNTA(B195:G195)=0,"",ROW()-2)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>
        <f>IF(COUNTA(B196:G196)=0,"",ROW()-2)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>
        <f>IF(COUNTA(B197:G197)=0,"",ROW()-2)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>
        <f>IF(COUNTA(B198:G198)=0,"",ROW()-2)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>
        <f>IF(COUNTA(B199:G199)=0,"",ROW()-2)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>
        <f>IF(COUNTA(B200:G200)=0,"",ROW()-2)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>
        <f>IF(COUNTA(B201:G201)=0,"",ROW()-2)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>
        <f>IF(COUNTA(B202:G202)=0,"",ROW()-2)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>
        <f>IF(COUNTA(B203:G203)=0,"",ROW()-2)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>
        <f>IF(COUNTA(B204:G204)=0,"",ROW()-2)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>
        <f>IF(COUNTA(B205:G205)=0,"",ROW()-2)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>
        <f>IF(COUNTA(B206:G206)=0,"",ROW()-2)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>
        <f>IF(COUNTA(B207:G207)=0,"",ROW()-2)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>
        <f>IF(COUNTA(B208:G208)=0,"",ROW()-2)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>
        <f>IF(COUNTA(B209:G209)=0,"",ROW()-2)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>
        <f>IF(COUNTA(B210:G210)=0,"",ROW()-2)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>
        <f>IF(COUNTA(B211:G211)=0,"",ROW()-2)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>
        <f>IF(COUNTA(B212:G212)=0,"",ROW()-2)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>
        <f>IF(COUNTA(B213:G213)=0,"",ROW()-2)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>
        <f>IF(COUNTA(B214:G214)=0,"",ROW()-2)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>
        <f>IF(COUNTA(B215:G215)=0,"",ROW()-2)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>
        <f>IF(COUNTA(B216:G216)=0,"",ROW()-2)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>
        <f>IF(COUNTA(B217:G217)=0,"",ROW()-2)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>
        <f>IF(COUNTA(B218:G218)=0,"",ROW()-2)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>
        <f>IF(COUNTA(B219:G219)=0,"",ROW()-2)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>
        <f>IF(COUNTA(B220:G220)=0,"",ROW()-2)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>
        <f>IF(COUNTA(B221:G221)=0,"",ROW()-2)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>
        <f>IF(COUNTA(B222:G222)=0,"",ROW()-2)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>
        <f>IF(COUNTA(B223:G223)=0,"",ROW()-2)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>
        <f>IF(COUNTA(B224:G224)=0,"",ROW()-2)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>
        <f>IF(COUNTA(B225:G225)=0,"",ROW()-2)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>
        <f>IF(COUNTA(B226:G226)=0,"",ROW()-2)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>
        <f>IF(COUNTA(B227:G227)=0,"",ROW()-2)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>
        <f>IF(COUNTA(B228:G228)=0,"",ROW()-2)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>
        <f>IF(COUNTA(B229:G229)=0,"",ROW()-2)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>
        <f>IF(COUNTA(B230:G230)=0,"",ROW()-2)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>
        <f>IF(COUNTA(B231:G231)=0,"",ROW()-2)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>
        <f>IF(COUNTA(B232:G232)=0,"",ROW()-2)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>
        <f>IF(COUNTA(B233:G233)=0,"",ROW()-2)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>
        <f>IF(COUNTA(B234:G234)=0,"",ROW()-2)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>
        <f>IF(COUNTA(B235:G235)=0,"",ROW()-2)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>
        <f>IF(COUNTA(B236:G236)=0,"",ROW()-2)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>
        <f>IF(COUNTA(B237:G237)=0,"",ROW()-2)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>
        <f>IF(COUNTA(B238:G238)=0,"",ROW()-2)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>
        <f>IF(COUNTA(B239:G239)=0,"",ROW()-2)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>
        <f>IF(COUNTA(B240:G240)=0,"",ROW()-2)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>
        <f>IF(COUNTA(B241:G241)=0,"",ROW()-2)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>
        <f>IF(COUNTA(B242:G242)=0,"",ROW()-2)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>
        <f>IF(COUNTA(B243:G243)=0,"",ROW()-2)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>
        <f>IF(COUNTA(B244:G244)=0,"",ROW()-2)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>
        <f>IF(COUNTA(B245:G245)=0,"",ROW()-2)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>
        <f>IF(COUNTA(B246:G246)=0,"",ROW()-2)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>
        <f>IF(COUNTA(B247:G247)=0,"",ROW()-2)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>
        <f>IF(COUNTA(B248:G248)=0,"",ROW()-2)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>
        <f>IF(COUNTA(B249:G249)=0,"",ROW()-2)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>
        <f>IF(COUNTA(B250:G250)=0,"",ROW()-2)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>
        <f>IF(COUNTA(B251:G251)=0,"",ROW()-2)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>
        <f>IF(COUNTA(B252:G252)=0,"",ROW()-2)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>
        <f>IF(COUNTA(B253:G253)=0,"",ROW()-2)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>
        <f>IF(COUNTA(B254:G254)=0,"",ROW()-2)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>
        <f>IF(COUNTA(B255:G255)=0,"",ROW()-2)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>
        <f>IF(COUNTA(B256:G256)=0,"",ROW()-2)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>
        <f>IF(COUNTA(B257:G257)=0,"",ROW()-2)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>
        <f>IF(COUNTA(B258:G258)=0,"",ROW()-2)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>
        <f>IF(COUNTA(B259:G259)=0,"",ROW()-2)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>
        <f>IF(COUNTA(B260:G260)=0,"",ROW()-2)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>
        <f>IF(COUNTA(B261:G261)=0,"",ROW()-2)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>
        <f>IF(COUNTA(B262:G262)=0,"",ROW()-2)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>
        <f>IF(COUNTA(B263:G263)=0,"",ROW()-2)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>
        <f>IF(COUNTA(B264:G264)=0,"",ROW()-2)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>
        <f>IF(COUNTA(B265:G265)=0,"",ROW()-2)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>
        <f>IF(COUNTA(B266:G266)=0,"",ROW()-2)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>
        <f>IF(COUNTA(B267:G267)=0,"",ROW()-2)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>
        <f>IF(COUNTA(B268:G268)=0,"",ROW()-2)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>
        <f>IF(COUNTA(B269:G269)=0,"",ROW()-2)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>
        <f>IF(COUNTA(B270:G270)=0,"",ROW()-2)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>
        <f>IF(COUNTA(B271:G271)=0,"",ROW()-2)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>
        <f>IF(COUNTA(B272:G272)=0,"",ROW()-2)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>
        <f>IF(COUNTA(B273:G273)=0,"",ROW()-2)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>
        <f>IF(COUNTA(B274:G274)=0,"",ROW()-2)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>
        <f>IF(COUNTA(B275:G275)=0,"",ROW()-2)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>
        <f>IF(COUNTA(B276:G276)=0,"",ROW()-2)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>
        <f>IF(COUNTA(B277:G277)=0,"",ROW()-2)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>
      <c r="A278" s="12">
        <f>IF(COUNTA(B278:G278)=0,"",ROW()-2)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>
      <c r="A279" s="12">
        <f>IF(COUNTA(B279:G279)=0,"",ROW()-2)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>
      <c r="A280" s="12">
        <f>IF(COUNTA(B280:G280)=0,"",ROW()-2)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>
      <c r="A281" s="12">
        <f>IF(COUNTA(B281:G281)=0,"",ROW()-2)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>
      <c r="A282" s="12">
        <f>IF(COUNTA(B282:G282)=0,"",ROW()-2)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>
      <c r="A283" s="12">
        <f>IF(COUNTA(B283:G283)=0,"",ROW()-2)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>
      <c r="A284" s="12">
        <f>IF(COUNTA(B284:G284)=0,"",ROW()-2)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>
      <c r="A285" s="12">
        <f>IF(COUNTA(B285:G285)=0,"",ROW()-2)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>
      <c r="A286" s="12">
        <f>IF(COUNTA(B286:G286)=0,"",ROW()-2)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>
      <c r="A287" s="12">
        <f>IF(COUNTA(B287:G287)=0,"",ROW()-2)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>
      <c r="A288" s="12">
        <f>IF(COUNTA(B288:G288)=0,"",ROW()-2)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>
      <c r="A289" s="12">
        <f>IF(COUNTA(B289:G289)=0,"",ROW()-2)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>
      <c r="A290" s="12">
        <f>IF(COUNTA(B290:G290)=0,"",ROW()-2)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>
      <c r="A291" s="12">
        <f>IF(COUNTA(B291:G291)=0,"",ROW()-2)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>
      <c r="A292" s="12">
        <f>IF(COUNTA(B292:G292)=0,"",ROW()-2)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>
      <c r="A293" s="12">
        <f>IF(COUNTA(B293:G293)=0,"",ROW()-2)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>
      <c r="A294" s="12">
        <f>IF(COUNTA(B294:G294)=0,"",ROW()-2)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>
      <c r="A295" s="12">
        <f>IF(COUNTA(B295:G295)=0,"",ROW()-2)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>
      <c r="A296" s="12">
        <f>IF(COUNTA(B296:G296)=0,"",ROW()-2)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>
      <c r="A297" s="12">
        <f>IF(COUNTA(B297:G297)=0,"",ROW()-2)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>
      <c r="A298" s="12">
        <f>IF(COUNTA(B298:G298)=0,"",ROW()-2)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>
      <c r="A299" s="12">
        <f>IF(COUNTA(B299:G299)=0,"",ROW()-2)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>
      <c r="A300" s="12">
        <f>IF(COUNTA(B300:G300)=0,"",ROW()-2)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>
      <c r="A301" s="12">
        <f>IF(COUNTA(B301:G301)=0,"",ROW()-2)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>
      <c r="A302" s="12">
        <f>IF(COUNTA(B302:G302)=0,"",ROW()-2)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>
      <c r="A303" s="12">
        <f>IF(COUNTA(B303:G303)=0,"",ROW()-2)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>
      <c r="A304" s="12">
        <f>IF(COUNTA(B304:G304)=0,"",ROW()-2)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>
      <c r="A305" s="12">
        <f>IF(COUNTA(B305:G305)=0,"",ROW()-2)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>
      <c r="A306" s="12">
        <f>IF(COUNTA(B306:G306)=0,"",ROW()-2)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>
      <c r="A307" s="12">
        <f>IF(COUNTA(B307:G307)=0,"",ROW()-2)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>
      <c r="A308" s="12">
        <f>IF(COUNTA(B308:G308)=0,"",ROW()-2)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>
      <c r="A309" s="12">
        <f>IF(COUNTA(B309:G309)=0,"",ROW()-2)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>
      <c r="A310" s="12">
        <f>IF(COUNTA(B310:G310)=0,"",ROW()-2)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>
      <c r="A311" s="12">
        <f>IF(COUNTA(B311:G311)=0,"",ROW()-2)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>
      <c r="A312" s="12">
        <f>IF(COUNTA(B312:G312)=0,"",ROW()-2)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>
      <c r="A313" s="12">
        <f>IF(COUNTA(B313:G313)=0,"",ROW()-2)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>
      <c r="A314" s="12">
        <f>IF(COUNTA(B314:G314)=0,"",ROW()-2)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>
      <c r="A315" s="12">
        <f>IF(COUNTA(B315:G315)=0,"",ROW()-2)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>
      <c r="A316" s="12">
        <f>IF(COUNTA(B316:G316)=0,"",ROW()-2)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>
      <c r="A317" s="12">
        <f>IF(COUNTA(B317:G317)=0,"",ROW()-2)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>
      <c r="A318" s="12">
        <f>IF(COUNTA(B318:G318)=0,"",ROW()-2)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>
      <c r="A319" s="12">
        <f>IF(COUNTA(B319:G319)=0,"",ROW()-2)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>
      <c r="A320" s="12">
        <f>IF(COUNTA(B320:G320)=0,"",ROW()-2)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>
      <c r="A321" s="12">
        <f>IF(COUNTA(B321:G321)=0,"",ROW()-2)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>
      <c r="A322" s="12">
        <f>IF(COUNTA(B322:G322)=0,"",ROW()-2)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>
      <c r="A323" s="12">
        <f>IF(COUNTA(B323:G323)=0,"",ROW()-2)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>
      <c r="A324" s="12">
        <f>IF(COUNTA(B324:G324)=0,"",ROW()-2)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>
      <c r="A325" s="12">
        <f>IF(COUNTA(B325:G325)=0,"",ROW()-2)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>
      <c r="A326" s="12">
        <f>IF(COUNTA(B326:G326)=0,"",ROW()-2)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>
      <c r="A327" s="12">
        <f>IF(COUNTA(B327:G327)=0,"",ROW()-2)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>
      <c r="A328" s="12">
        <f>IF(COUNTA(B328:G328)=0,"",ROW()-2)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>
      <c r="A329" s="12">
        <f>IF(COUNTA(B329:G329)=0,"",ROW()-2)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>
      <c r="A330" s="12">
        <f>IF(COUNTA(B330:G330)=0,"",ROW()-2)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>
      <c r="A331" s="12">
        <f>IF(COUNTA(B331:G331)=0,"",ROW()-2)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>
      <c r="A332" s="12">
        <f>IF(COUNTA(B332:G332)=0,"",ROW()-2)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>
      <c r="A333" s="12">
        <f>IF(COUNTA(B333:G333)=0,"",ROW()-2)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>
      <c r="A334" s="12">
        <f>IF(COUNTA(B334:G334)=0,"",ROW()-2)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>
      <c r="A335" s="12">
        <f>IF(COUNTA(B335:G335)=0,"",ROW()-2)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>
      <c r="A336" s="12">
        <f>IF(COUNTA(B336:G336)=0,"",ROW()-2)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>
      <c r="A337" s="12">
        <f>IF(COUNTA(B337:G337)=0,"",ROW()-2)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>
      <c r="A338" s="12">
        <f>IF(COUNTA(B338:G338)=0,"",ROW()-2)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>
      <c r="A339" s="12">
        <f>IF(COUNTA(B339:G339)=0,"",ROW()-2)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>
      <c r="A340" s="12">
        <f>IF(COUNTA(B340:G340)=0,"",ROW()-2)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>
      <c r="A341" s="12">
        <f>IF(COUNTA(B341:G341)=0,"",ROW()-2)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>
      <c r="A342" s="12">
        <f>IF(COUNTA(B342:G342)=0,"",ROW()-2)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>
      <c r="A343" s="12">
        <f>IF(COUNTA(B343:G343)=0,"",ROW()-2)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>
      <c r="A344" s="12">
        <f>IF(COUNTA(B344:G344)=0,"",ROW()-2)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>
      <c r="A345" s="12">
        <f>IF(COUNTA(B345:G345)=0,"",ROW()-2)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>
      <c r="A346" s="12">
        <f>IF(COUNTA(B346:G346)=0,"",ROW()-2)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>
      <c r="A347" s="12">
        <f>IF(COUNTA(B347:G347)=0,"",ROW()-2)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>
      <c r="A348" s="12">
        <f>IF(COUNTA(B348:G348)=0,"",ROW()-2)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>
      <c r="A349" s="12">
        <f>IF(COUNTA(B349:G349)=0,"",ROW()-2)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>
      <c r="A350" s="12">
        <f>IF(COUNTA(B350:G350)=0,"",ROW()-2)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>
      <c r="A351" s="12">
        <f>IF(COUNTA(B351:G351)=0,"",ROW()-2)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>
      <c r="A352" s="12">
        <f>IF(COUNTA(B352:G352)=0,"",ROW()-2)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>
      <c r="A353" s="12">
        <f>IF(COUNTA(B353:G353)=0,"",ROW()-2)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>
      <c r="A354" s="12">
        <f>IF(COUNTA(B354:G354)=0,"",ROW()-2)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>
      <c r="A355" s="12">
        <f>IF(COUNTA(B355:G355)=0,"",ROW()-2)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>
      <c r="A356" s="12">
        <f>IF(COUNTA(B356:G356)=0,"",ROW()-2)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>
      <c r="A357" s="12">
        <f>IF(COUNTA(B357:G357)=0,"",ROW()-2)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>
      <c r="A358" s="12">
        <f>IF(COUNTA(B358:G358)=0,"",ROW()-2)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>
      <c r="A359" s="12">
        <f>IF(COUNTA(B359:G359)=0,"",ROW()-2)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>
      <c r="A360" s="12">
        <f>IF(COUNTA(B360:G360)=0,"",ROW()-2)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>
      <c r="A361" s="12">
        <f>IF(COUNTA(B361:G361)=0,"",ROW()-2)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>
      <c r="A362" s="12">
        <f>IF(COUNTA(B362:G362)=0,"",ROW()-2)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>
      <c r="A363" s="12">
        <f>IF(COUNTA(B363:G363)=0,"",ROW()-2)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>
      <c r="A364" s="12">
        <f>IF(COUNTA(B364:G364)=0,"",ROW()-2)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>
      <c r="A365" s="12">
        <f>IF(COUNTA(B365:G365)=0,"",ROW()-2)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>
      <c r="A366" s="12">
        <f>IF(COUNTA(B366:G366)=0,"",ROW()-2)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>
      <c r="A367" s="12">
        <f>IF(COUNTA(B367:G367)=0,"",ROW()-2)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>
      <c r="A368" s="12">
        <f>IF(COUNTA(B368:G368)=0,"",ROW()-2)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>
      <c r="A369" s="12">
        <f>IF(COUNTA(B369:G369)=0,"",ROW()-2)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>
      <c r="A370" s="12">
        <f>IF(COUNTA(B370:G370)=0,"",ROW()-2)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>
      <c r="A371" s="12">
        <f>IF(COUNTA(B371:G371)=0,"",ROW()-2)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>
      <c r="A372" s="12">
        <f>IF(COUNTA(B372:G372)=0,"",ROW()-2)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>
      <c r="A373" s="12">
        <f>IF(COUNTA(B373:G373)=0,"",ROW()-2)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>
      <c r="A374" s="12">
        <f>IF(COUNTA(B374:G374)=0,"",ROW()-2)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>
      <c r="A375" s="12">
        <f>IF(COUNTA(B375:G375)=0,"",ROW()-2)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>
      <c r="A376" s="12">
        <f>IF(COUNTA(B376:G376)=0,"",ROW()-2)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>
      <c r="A377" s="12">
        <f>IF(COUNTA(B377:G377)=0,"",ROW()-2)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>
      <c r="A378" s="12">
        <f>IF(COUNTA(B378:G378)=0,"",ROW()-2)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>
      <c r="A379" s="12">
        <f>IF(COUNTA(B379:G379)=0,"",ROW()-2)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>
      <c r="A380" s="12">
        <f>IF(COUNTA(B380:G380)=0,"",ROW()-2)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>
      <c r="A381" s="12">
        <f>IF(COUNTA(B381:G381)=0,"",ROW()-2)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>
      <c r="A382" s="12">
        <f>IF(COUNTA(B382:G382)=0,"",ROW()-2)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>
      <c r="A383" s="12">
        <f>IF(COUNTA(B383:G383)=0,"",ROW()-2)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>
      <c r="A384" s="12">
        <f>IF(COUNTA(B384:G384)=0,"",ROW()-2)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>
      <c r="A385" s="12">
        <f>IF(COUNTA(B385:G385)=0,"",ROW()-2)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>
      <c r="A386" s="12">
        <f>IF(COUNTA(B386:G386)=0,"",ROW()-2)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>
      <c r="A387" s="12">
        <f>IF(COUNTA(B387:G387)=0,"",ROW()-2)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>
      <c r="A388" s="12">
        <f>IF(COUNTA(B388:G388)=0,"",ROW()-2)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>
      <c r="A389" s="12">
        <f>IF(COUNTA(B389:G389)=0,"",ROW()-2)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>
      <c r="A390" s="12">
        <f>IF(COUNTA(B390:G390)=0,"",ROW()-2)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>
      <c r="A391" s="12">
        <f>IF(COUNTA(B391:G391)=0,"",ROW()-2)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>
      <c r="A392" s="12">
        <f>IF(COUNTA(B392:G392)=0,"",ROW()-2)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>
      <c r="A393" s="12">
        <f>IF(COUNTA(B393:G393)=0,"",ROW()-2)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>
      <c r="A394" s="12">
        <f>IF(COUNTA(B394:G394)=0,"",ROW()-2)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>
      <c r="A395" s="12">
        <f>IF(COUNTA(B395:G395)=0,"",ROW()-2)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>
      <c r="A396" s="12">
        <f>IF(COUNTA(B396:G396)=0,"",ROW()-2)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>
      <c r="A397" s="12">
        <f>IF(COUNTA(B397:G397)=0,"",ROW()-2)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>
      <c r="A398" s="12">
        <f>IF(COUNTA(B398:G398)=0,"",ROW()-2)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>
      <c r="A399" s="12">
        <f>IF(COUNTA(B399:G399)=0,"",ROW()-2)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>
      <c r="A400" s="12">
        <f>IF(COUNTA(B400:G400)=0,"",ROW()-2)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>
      <c r="A401" s="12">
        <f>IF(COUNTA(B401:G401)=0,"",ROW()-2)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>
      <c r="A402" s="12">
        <f>IF(COUNTA(B402:G402)=0,"",ROW()-2)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>
      <c r="A403" s="12">
        <f>IF(COUNTA(B403:G403)=0,"",ROW()-2)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>
      <c r="A404" s="12">
        <f>IF(COUNTA(B404:G404)=0,"",ROW()-2)</f>
        <v/>
      </c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>
      <c r="A405" s="12">
        <f>IF(COUNTA(B405:G405)=0,"",ROW()-2)</f>
        <v/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>
      <c r="A406" s="12">
        <f>IF(COUNTA(B406:G406)=0,"",ROW()-2)</f>
        <v/>
      </c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>
      <c r="A407" s="12">
        <f>IF(COUNTA(B407:G407)=0,"",ROW()-2)</f>
        <v/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>
      <c r="A408" s="12">
        <f>IF(COUNTA(B408:G408)=0,"",ROW()-2)</f>
        <v/>
      </c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>
      <c r="A409" s="12">
        <f>IF(COUNTA(B409:G409)=0,"",ROW()-2)</f>
        <v/>
      </c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>
      <c r="A410" s="12">
        <f>IF(COUNTA(B410:G410)=0,"",ROW()-2)</f>
        <v/>
      </c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>
      <c r="A411" s="12">
        <f>IF(COUNTA(B411:G411)=0,"",ROW()-2)</f>
        <v/>
      </c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>
      <c r="A412" s="12">
        <f>IF(COUNTA(B412:G412)=0,"",ROW()-2)</f>
        <v/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>
      <c r="A413" s="12">
        <f>IF(COUNTA(B413:G413)=0,"",ROW()-2)</f>
        <v/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>
      <c r="A414" s="12">
        <f>IF(COUNTA(B414:G414)=0,"",ROW()-2)</f>
        <v/>
      </c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>
      <c r="A415" s="12">
        <f>IF(COUNTA(B415:G415)=0,"",ROW()-2)</f>
        <v/>
      </c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>
      <c r="A416" s="12">
        <f>IF(COUNTA(B416:G416)=0,"",ROW()-2)</f>
        <v/>
      </c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>
      <c r="A417" s="12">
        <f>IF(COUNTA(B417:G417)=0,"",ROW()-2)</f>
        <v/>
      </c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>
      <c r="A418" s="12">
        <f>IF(COUNTA(B418:G418)=0,"",ROW()-2)</f>
        <v/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>
      <c r="A419" s="12">
        <f>IF(COUNTA(B419:G419)=0,"",ROW()-2)</f>
        <v/>
      </c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>
      <c r="A420" s="12">
        <f>IF(COUNTA(B420:G420)=0,"",ROW()-2)</f>
        <v/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>
      <c r="A421" s="12">
        <f>IF(COUNTA(B421:G421)=0,"",ROW()-2)</f>
        <v/>
      </c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>
      <c r="A422" s="12">
        <f>IF(COUNTA(B422:G422)=0,"",ROW()-2)</f>
        <v/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>
      <c r="A423" s="12">
        <f>IF(COUNTA(B423:G423)=0,"",ROW()-2)</f>
        <v/>
      </c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>
      <c r="A424" s="12">
        <f>IF(COUNTA(B424:G424)=0,"",ROW()-2)</f>
        <v/>
      </c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>
      <c r="A425" s="12">
        <f>IF(COUNTA(B425:G425)=0,"",ROW()-2)</f>
        <v/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>
      <c r="A426" s="12">
        <f>IF(COUNTA(B426:G426)=0,"",ROW()-2)</f>
        <v/>
      </c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>
      <c r="A427" s="12">
        <f>IF(COUNTA(B427:G427)=0,"",ROW()-2)</f>
        <v/>
      </c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>
      <c r="A428" s="12">
        <f>IF(COUNTA(B428:G428)=0,"",ROW()-2)</f>
        <v/>
      </c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>
      <c r="A429" s="12">
        <f>IF(COUNTA(B429:G429)=0,"",ROW()-2)</f>
        <v/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>
      <c r="A430" s="12">
        <f>IF(COUNTA(B430:G430)=0,"",ROW()-2)</f>
        <v/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>
      <c r="A431" s="12">
        <f>IF(COUNTA(B431:G431)=0,"",ROW()-2)</f>
        <v/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>
      <c r="A432" s="12">
        <f>IF(COUNTA(B432:G432)=0,"",ROW()-2)</f>
        <v/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>
      <c r="A433" s="12">
        <f>IF(COUNTA(B433:G433)=0,"",ROW()-2)</f>
        <v/>
      </c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>
      <c r="A434" s="12">
        <f>IF(COUNTA(B434:G434)=0,"",ROW()-2)</f>
        <v/>
      </c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>
      <c r="A435" s="12">
        <f>IF(COUNTA(B435:G435)=0,"",ROW()-2)</f>
        <v/>
      </c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>
      <c r="A436" s="12">
        <f>IF(COUNTA(B436:G436)=0,"",ROW()-2)</f>
        <v/>
      </c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>
      <c r="A437" s="12">
        <f>IF(COUNTA(B437:G437)=0,"",ROW()-2)</f>
        <v/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>
      <c r="A438" s="12">
        <f>IF(COUNTA(B438:G438)=0,"",ROW()-2)</f>
        <v/>
      </c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>
      <c r="A439" s="12">
        <f>IF(COUNTA(B439:G439)=0,"",ROW()-2)</f>
        <v/>
      </c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>
      <c r="A440" s="12">
        <f>IF(COUNTA(B440:G440)=0,"",ROW()-2)</f>
        <v/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>
      <c r="A441" s="12">
        <f>IF(COUNTA(B441:G441)=0,"",ROW()-2)</f>
        <v/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>
      <c r="A442" s="12">
        <f>IF(COUNTA(B442:G442)=0,"",ROW()-2)</f>
        <v/>
      </c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>
      <c r="A443" s="12">
        <f>IF(COUNTA(B443:G443)=0,"",ROW()-2)</f>
        <v/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>
      <c r="A444" s="12">
        <f>IF(COUNTA(B444:G444)=0,"",ROW()-2)</f>
        <v/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>
      <c r="A445" s="12">
        <f>IF(COUNTA(B445:G445)=0,"",ROW()-2)</f>
        <v/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>
      <c r="A446" s="12">
        <f>IF(COUNTA(B446:G446)=0,"",ROW()-2)</f>
        <v/>
      </c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>
      <c r="A447" s="12">
        <f>IF(COUNTA(B447:G447)=0,"",ROW()-2)</f>
        <v/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>
      <c r="A448" s="12">
        <f>IF(COUNTA(B448:G448)=0,"",ROW()-2)</f>
        <v/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>
      <c r="A449" s="12">
        <f>IF(COUNTA(B449:G449)=0,"",ROW()-2)</f>
        <v/>
      </c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>
      <c r="A450" s="12">
        <f>IF(COUNTA(B450:G450)=0,"",ROW()-2)</f>
        <v/>
      </c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>
      <c r="A451" s="12">
        <f>IF(COUNTA(B451:G451)=0,"",ROW()-2)</f>
        <v/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>
      <c r="A452" s="12">
        <f>IF(COUNTA(B452:G452)=0,"",ROW()-2)</f>
        <v/>
      </c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>
      <c r="A453" s="12">
        <f>IF(COUNTA(B453:G453)=0,"",ROW()-2)</f>
        <v/>
      </c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>
      <c r="A454" s="12">
        <f>IF(COUNTA(B454:G454)=0,"",ROW()-2)</f>
        <v/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>
      <c r="A455" s="12">
        <f>IF(COUNTA(B455:G455)=0,"",ROW()-2)</f>
        <v/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>
      <c r="A456" s="12">
        <f>IF(COUNTA(B456:G456)=0,"",ROW()-2)</f>
        <v/>
      </c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>
      <c r="A457" s="12">
        <f>IF(COUNTA(B457:G457)=0,"",ROW()-2)</f>
        <v/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>
      <c r="A458" s="12">
        <f>IF(COUNTA(B458:G458)=0,"",ROW()-2)</f>
        <v/>
      </c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>
      <c r="A459" s="12">
        <f>IF(COUNTA(B459:G459)=0,"",ROW()-2)</f>
        <v/>
      </c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>
      <c r="A460" s="12">
        <f>IF(COUNTA(B460:G460)=0,"",ROW()-2)</f>
        <v/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>
      <c r="A461" s="12">
        <f>IF(COUNTA(B461:G461)=0,"",ROW()-2)</f>
        <v/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>
      <c r="A462" s="12">
        <f>IF(COUNTA(B462:G462)=0,"",ROW()-2)</f>
        <v/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>
      <c r="A463" s="12">
        <f>IF(COUNTA(B463:G463)=0,"",ROW()-2)</f>
        <v/>
      </c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>
      <c r="A464" s="12">
        <f>IF(COUNTA(B464:G464)=0,"",ROW()-2)</f>
        <v/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>
      <c r="A465" s="12">
        <f>IF(COUNTA(B465:G465)=0,"",ROW()-2)</f>
        <v/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>
      <c r="A466" s="12">
        <f>IF(COUNTA(B466:G466)=0,"",ROW()-2)</f>
        <v/>
      </c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>
      <c r="A467" s="12">
        <f>IF(COUNTA(B467:G467)=0,"",ROW()-2)</f>
        <v/>
      </c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>
      <c r="A468" s="12">
        <f>IF(COUNTA(B468:G468)=0,"",ROW()-2)</f>
        <v/>
      </c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>
      <c r="A469" s="12">
        <f>IF(COUNTA(B469:G469)=0,"",ROW()-2)</f>
        <v/>
      </c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>
      <c r="A470" s="12">
        <f>IF(COUNTA(B470:G470)=0,"",ROW()-2)</f>
        <v/>
      </c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>
      <c r="A471" s="12">
        <f>IF(COUNTA(B471:G471)=0,"",ROW()-2)</f>
        <v/>
      </c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>
      <c r="A472" s="12">
        <f>IF(COUNTA(B472:G472)=0,"",ROW()-2)</f>
        <v/>
      </c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>
      <c r="A473" s="12">
        <f>IF(COUNTA(B473:G473)=0,"",ROW()-2)</f>
        <v/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>
      <c r="A474" s="12">
        <f>IF(COUNTA(B474:G474)=0,"",ROW()-2)</f>
        <v/>
      </c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>
      <c r="A475" s="12">
        <f>IF(COUNTA(B475:G475)=0,"",ROW()-2)</f>
        <v/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>
      <c r="A476" s="12">
        <f>IF(COUNTA(B476:G476)=0,"",ROW()-2)</f>
        <v/>
      </c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>
      <c r="A477" s="12">
        <f>IF(COUNTA(B477:G477)=0,"",ROW()-2)</f>
        <v/>
      </c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>
      <c r="A478" s="12">
        <f>IF(COUNTA(B478:G478)=0,"",ROW()-2)</f>
        <v/>
      </c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>
      <c r="A479" s="12">
        <f>IF(COUNTA(B479:G479)=0,"",ROW()-2)</f>
        <v/>
      </c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>
      <c r="A480" s="12">
        <f>IF(COUNTA(B480:G480)=0,"",ROW()-2)</f>
        <v/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>
      <c r="A481" s="12">
        <f>IF(COUNTA(B481:G481)=0,"",ROW()-2)</f>
        <v/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>
      <c r="A482" s="12">
        <f>IF(COUNTA(B482:G482)=0,"",ROW()-2)</f>
        <v/>
      </c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>
      <c r="A483" s="12">
        <f>IF(COUNTA(B483:G483)=0,"",ROW()-2)</f>
        <v/>
      </c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>
      <c r="A484" s="12">
        <f>IF(COUNTA(B484:G484)=0,"",ROW()-2)</f>
        <v/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>
      <c r="A485" s="12">
        <f>IF(COUNTA(B485:G485)=0,"",ROW()-2)</f>
        <v/>
      </c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>
      <c r="A486" s="12">
        <f>IF(COUNTA(B486:G486)=0,"",ROW()-2)</f>
        <v/>
      </c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>
      <c r="A487" s="12">
        <f>IF(COUNTA(B487:G487)=0,"",ROW()-2)</f>
        <v/>
      </c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>
      <c r="A488" s="12">
        <f>IF(COUNTA(B488:G488)=0,"",ROW()-2)</f>
        <v/>
      </c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>
      <c r="A489" s="12">
        <f>IF(COUNTA(B489:G489)=0,"",ROW()-2)</f>
        <v/>
      </c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>
      <c r="A490" s="12">
        <f>IF(COUNTA(B490:G490)=0,"",ROW()-2)</f>
        <v/>
      </c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>
      <c r="A491" s="12">
        <f>IF(COUNTA(B491:G491)=0,"",ROW()-2)</f>
        <v/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>
      <c r="A492" s="12">
        <f>IF(COUNTA(B492:G492)=0,"",ROW()-2)</f>
        <v/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>
      <c r="A493" s="12">
        <f>IF(COUNTA(B493:G493)=0,"",ROW()-2)</f>
        <v/>
      </c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>
      <c r="A494" s="12">
        <f>IF(COUNTA(B494:G494)=0,"",ROW()-2)</f>
        <v/>
      </c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>
      <c r="A495" s="12">
        <f>IF(COUNTA(B495:G495)=0,"",ROW()-2)</f>
        <v/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>
      <c r="A496" s="12">
        <f>IF(COUNTA(B496:G496)=0,"",ROW()-2)</f>
        <v/>
      </c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>
      <c r="A497" s="12">
        <f>IF(COUNTA(B497:G497)=0,"",ROW()-2)</f>
        <v/>
      </c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>
      <c r="A498" s="12">
        <f>IF(COUNTA(B498:G498)=0,"",ROW()-2)</f>
        <v/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>
      <c r="A499" s="12">
        <f>IF(COUNTA(B499:G499)=0,"",ROW()-2)</f>
        <v/>
      </c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>
      <c r="A500" s="12">
        <f>IF(COUNTA(B500:G500)=0,"",ROW()-2)</f>
        <v/>
      </c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</sheetData>
  <dataValidations count="5">
    <dataValidation sqref="H3:H500" showDropDown="0" showInputMessage="0" showErrorMessage="0" allowBlank="1" type="list">
      <formula1>"Bug,Backlog"</formula1>
    </dataValidation>
    <dataValidation sqref="I3:I500" showDropDown="0" showInputMessage="0" showErrorMessage="0" allowBlank="1" type="list">
      <formula1>"Sim,Não"</formula1>
    </dataValidation>
    <dataValidation sqref="J3:J500" showDropDown="0" showInputMessage="0" showErrorMessage="0" allowBlank="1" type="list">
      <formula1>"Aberto,Corrigido,Não será feito"</formula1>
    </dataValidation>
    <dataValidation sqref="C3:C500" showDropDown="0" showInputMessage="0" showErrorMessage="0" allowBlank="1" type="list">
      <formula1>"Vinícius,Erick,Arthur"</formula1>
    </dataValidation>
    <dataValidation sqref="D3:D500" showDropDown="0" showInputMessage="0" showErrorMessage="0" allowBlank="1" type="list">
      <formula1>"Dashboard,Atendimentos,Pacientes,Consultas,Tarefas,Contas a Receber,Contas a Pagar,Fluxo de Caixa,Anamnese,Insights IA,Relatórios,Configurações,Equipe,Cadastro / Login,Outro"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52" customWidth="1" min="4" max="4"/>
  </cols>
  <sheetData>
    <row r="2" ht="34" customHeight="1">
      <c r="B2" s="1" t="inlineStr">
        <is>
          <t>Resumo das baterias</t>
        </is>
      </c>
    </row>
    <row r="4" ht="26" customHeight="1">
      <c r="B4" s="13" t="inlineStr">
        <is>
          <t>TRAVA DE LANÇAMENTO</t>
        </is>
      </c>
      <c r="C4" s="14">
        <f>COUNTIFS(Apontamentos!$H$3:$H$500,"Bug",Apontamentos!$I$3:$I$500,"Sim",Apontamentos!$J$3:$J$500,"Aberto")+COUNTIFS(Apontamentos!$H$3:$H$500,"Bug",Apontamentos!$I$3:$I$500,"Sim",Apontamentos!$J$3:$J$500,"")</f>
        <v/>
      </c>
      <c r="D4" s="5" t="inlineStr">
        <is>
          <t>Bugs abertos que impedem ou atrapalham muito o uso. Precisa chegar a ZERO antes de abrirmos para cliente.</t>
        </is>
      </c>
    </row>
    <row r="5" ht="26" customHeight="1"/>
    <row r="7">
      <c r="B7" s="2" t="inlineStr">
        <is>
          <t>Contagem geral</t>
        </is>
      </c>
    </row>
    <row r="8">
      <c r="B8" s="15" t="inlineStr">
        <is>
          <t>Total de apontamentos</t>
        </is>
      </c>
      <c r="C8" s="16">
        <f>COUNTA(Apontamentos!$B$3:$B$500)</f>
        <v/>
      </c>
      <c r="D8" s="17" t="inlineStr">
        <is>
          <t>Linhas preenchidas.</t>
        </is>
      </c>
    </row>
    <row r="9">
      <c r="B9" s="15" t="inlineStr">
        <is>
          <t>Bugs</t>
        </is>
      </c>
      <c r="C9" s="16">
        <f>COUNTIF(Apontamentos!$H$3:$H$500,"Bug")</f>
        <v/>
      </c>
      <c r="D9" s="17" t="inlineStr">
        <is>
          <t>Corrigir antes do lançamento.</t>
        </is>
      </c>
    </row>
    <row r="10">
      <c r="B10" s="15" t="inlineStr">
        <is>
          <t>Backlog</t>
        </is>
      </c>
      <c r="C10" s="16">
        <f>COUNTIF(Apontamentos!$H$3:$H$500,"Backlog")</f>
        <v/>
      </c>
      <c r="D10" s="17" t="inlineStr">
        <is>
          <t>Entra depois do lançamento.</t>
        </is>
      </c>
    </row>
    <row r="11">
      <c r="B11" s="15" t="inlineStr">
        <is>
          <t>Sem classificar</t>
        </is>
      </c>
      <c r="C11" s="16">
        <f>COUNTA(Apontamentos!$B$3:$B$500)-COUNTIF(Apontamentos!$H$3:$H$500,"Bug")-COUNTIF(Apontamentos!$H$3:$H$500,"Backlog")</f>
        <v/>
      </c>
      <c r="D11" s="17" t="inlineStr">
        <is>
          <t>Precisa ser zero antes de eu começar a corrigir.</t>
        </is>
      </c>
    </row>
    <row r="12">
      <c r="B12" s="15" t="inlineStr">
        <is>
          <t>Bugs corrigidos</t>
        </is>
      </c>
      <c r="C12" s="16">
        <f>COUNTIFS(Apontamentos!$H$3:$H$500,"Bug",Apontamentos!$J$3:$J$500,"Corrigido")</f>
        <v/>
      </c>
      <c r="D12" s="17" t="inlineStr">
        <is>
          <t>Fechados por mim.</t>
        </is>
      </c>
    </row>
    <row r="13">
      <c r="B13" s="15" t="inlineStr">
        <is>
          <t>Bugs abertos</t>
        </is>
      </c>
      <c r="C13" s="16">
        <f>COUNTIF(Apontamentos!$H$3:$H$500,"Bug")-COUNTIFS(Apontamentos!$H$3:$H$500,"Bug",Apontamentos!$J$3:$J$500,"Corrigido")-COUNTIFS(Apontamentos!$H$3:$H$500,"Bug",Apontamentos!$J$3:$J$500,"Não será feito")</f>
        <v/>
      </c>
      <c r="D13" s="17" t="inlineStr">
        <is>
          <t>Fila de correção.</t>
        </is>
      </c>
    </row>
    <row r="15">
      <c r="B15" s="2" t="inlineStr">
        <is>
          <t>Por quem testou</t>
        </is>
      </c>
    </row>
    <row r="16">
      <c r="B16" s="15" t="inlineStr">
        <is>
          <t>Vinícius</t>
        </is>
      </c>
      <c r="C16" s="16">
        <f>COUNTIF(Apontamentos!$C$3:$C$500,"Vinícius")</f>
        <v/>
      </c>
      <c r="D16" s="18" t="inlineStr"/>
    </row>
    <row r="17">
      <c r="B17" s="15" t="inlineStr">
        <is>
          <t>Erick</t>
        </is>
      </c>
      <c r="C17" s="16">
        <f>COUNTIF(Apontamentos!$C$3:$C$500,"Erick")</f>
        <v/>
      </c>
      <c r="D17" s="18" t="inlineStr"/>
    </row>
    <row r="18">
      <c r="B18" s="15" t="inlineStr">
        <is>
          <t>Arthur</t>
        </is>
      </c>
      <c r="C18" s="16">
        <f>COUNTIF(Apontamentos!$C$3:$C$500,"Arthur")</f>
        <v/>
      </c>
      <c r="D18" s="18" t="inlineStr"/>
    </row>
    <row r="20">
      <c r="B20" s="2" t="inlineStr">
        <is>
          <t>Por área do sistema</t>
        </is>
      </c>
    </row>
    <row r="21">
      <c r="B21" s="19" t="inlineStr">
        <is>
          <t>Dashboard</t>
        </is>
      </c>
      <c r="C21" s="16">
        <f>COUNTIF(Apontamentos!$D$3:$D$500,"Dashboard")</f>
        <v/>
      </c>
      <c r="D21" s="18" t="inlineStr"/>
    </row>
    <row r="22">
      <c r="B22" s="19" t="inlineStr">
        <is>
          <t>Atendimentos</t>
        </is>
      </c>
      <c r="C22" s="16">
        <f>COUNTIF(Apontamentos!$D$3:$D$500,"Atendimentos")</f>
        <v/>
      </c>
      <c r="D22" s="18" t="inlineStr"/>
    </row>
    <row r="23">
      <c r="B23" s="19" t="inlineStr">
        <is>
          <t>Pacientes</t>
        </is>
      </c>
      <c r="C23" s="16">
        <f>COUNTIF(Apontamentos!$D$3:$D$500,"Pacientes")</f>
        <v/>
      </c>
      <c r="D23" s="18" t="inlineStr"/>
    </row>
    <row r="24">
      <c r="B24" s="19" t="inlineStr">
        <is>
          <t>Consultas</t>
        </is>
      </c>
      <c r="C24" s="16">
        <f>COUNTIF(Apontamentos!$D$3:$D$500,"Consultas")</f>
        <v/>
      </c>
      <c r="D24" s="18" t="inlineStr"/>
    </row>
    <row r="25">
      <c r="B25" s="19" t="inlineStr">
        <is>
          <t>Tarefas</t>
        </is>
      </c>
      <c r="C25" s="16">
        <f>COUNTIF(Apontamentos!$D$3:$D$500,"Tarefas")</f>
        <v/>
      </c>
      <c r="D25" s="18" t="inlineStr"/>
    </row>
    <row r="26">
      <c r="B26" s="19" t="inlineStr">
        <is>
          <t>Contas a Receber</t>
        </is>
      </c>
      <c r="C26" s="16">
        <f>COUNTIF(Apontamentos!$D$3:$D$500,"Contas a Receber")</f>
        <v/>
      </c>
      <c r="D26" s="18" t="inlineStr"/>
    </row>
    <row r="27">
      <c r="B27" s="19" t="inlineStr">
        <is>
          <t>Contas a Pagar</t>
        </is>
      </c>
      <c r="C27" s="16">
        <f>COUNTIF(Apontamentos!$D$3:$D$500,"Contas a Pagar")</f>
        <v/>
      </c>
      <c r="D27" s="18" t="inlineStr"/>
    </row>
    <row r="28">
      <c r="B28" s="19" t="inlineStr">
        <is>
          <t>Fluxo de Caixa</t>
        </is>
      </c>
      <c r="C28" s="16">
        <f>COUNTIF(Apontamentos!$D$3:$D$500,"Fluxo de Caixa")</f>
        <v/>
      </c>
      <c r="D28" s="18" t="inlineStr"/>
    </row>
    <row r="29">
      <c r="B29" s="19" t="inlineStr">
        <is>
          <t>Anamnese</t>
        </is>
      </c>
      <c r="C29" s="16">
        <f>COUNTIF(Apontamentos!$D$3:$D$500,"Anamnese")</f>
        <v/>
      </c>
      <c r="D29" s="18" t="inlineStr"/>
    </row>
    <row r="30">
      <c r="B30" s="19" t="inlineStr">
        <is>
          <t>Insights IA</t>
        </is>
      </c>
      <c r="C30" s="16">
        <f>COUNTIF(Apontamentos!$D$3:$D$500,"Insights IA")</f>
        <v/>
      </c>
      <c r="D30" s="18" t="inlineStr"/>
    </row>
    <row r="31">
      <c r="B31" s="19" t="inlineStr">
        <is>
          <t>Relatórios</t>
        </is>
      </c>
      <c r="C31" s="16">
        <f>COUNTIF(Apontamentos!$D$3:$D$500,"Relatórios")</f>
        <v/>
      </c>
      <c r="D31" s="18" t="inlineStr"/>
    </row>
    <row r="32">
      <c r="B32" s="19" t="inlineStr">
        <is>
          <t>Configurações</t>
        </is>
      </c>
      <c r="C32" s="16">
        <f>COUNTIF(Apontamentos!$D$3:$D$500,"Configurações")</f>
        <v/>
      </c>
      <c r="D32" s="18" t="inlineStr"/>
    </row>
    <row r="33">
      <c r="B33" s="19" t="inlineStr">
        <is>
          <t>Equipe</t>
        </is>
      </c>
      <c r="C33" s="16">
        <f>COUNTIF(Apontamentos!$D$3:$D$500,"Equipe")</f>
        <v/>
      </c>
      <c r="D33" s="18" t="inlineStr"/>
    </row>
    <row r="34">
      <c r="B34" s="19" t="inlineStr">
        <is>
          <t>Cadastro / Login</t>
        </is>
      </c>
      <c r="C34" s="16">
        <f>COUNTIF(Apontamentos!$D$3:$D$500,"Cadastro / Login")</f>
        <v/>
      </c>
      <c r="D34" s="18" t="inlineStr"/>
    </row>
    <row r="35">
      <c r="B35" s="19" t="inlineStr">
        <is>
          <t>Outro</t>
        </is>
      </c>
      <c r="C35" s="16">
        <f>COUNTIF(Apontamentos!$D$3:$D$500,"Outro")</f>
        <v/>
      </c>
      <c r="D35" s="18" t="inlineStr"/>
    </row>
    <row r="38" ht="28" customHeight="1">
      <c r="B38" s="7" t="inlineStr">
        <is>
          <t>Nota</t>
        </is>
      </c>
      <c r="C38" s="20" t="inlineStr">
        <is>
          <t>Todos os números desta aba são fórmulas sobre a aba Apontamentos, a partir da linha 3. A linha 2 é o exemplo e fica de fora da conta — pode apagá-la ou deixar.</t>
        </is>
      </c>
    </row>
  </sheetData>
  <mergeCells count="5">
    <mergeCell ref="C38:D38"/>
    <mergeCell ref="B4:B5"/>
    <mergeCell ref="C4:C5"/>
    <mergeCell ref="D4:D5"/>
    <mergeCell ref="B2:D2"/>
  </mergeCells>
  <conditionalFormatting sqref="C4">
    <cfRule type="cellIs" priority="1" operator="equal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2026-08-17T05:06:31Z</dcterms:created>
  <dcterms:modified xsi:type="dcterms:W3CDTF">2026-08-17T05:06:31Z</dcterms:modified>
</cp:coreProperties>
</file>